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axion.sharepoint.com/teams/O365-Course-Team-113290-groep1.2/Shared Documents/group 9/1. Initiatiefase/Kostenberekening/"/>
    </mc:Choice>
  </mc:AlternateContent>
  <xr:revisionPtr revIDLastSave="1" documentId="13_ncr:1_{C05F839A-C32E-4106-BD9C-FD8C33096279}" xr6:coauthVersionLast="47" xr6:coauthVersionMax="47" xr10:uidLastSave="{D010C096-5A5A-4694-916F-D4836BF10D8A}"/>
  <bookViews>
    <workbookView minimized="1" xWindow="3120" yWindow="3120" windowWidth="28800" windowHeight="15345" xr2:uid="{BBDF1E51-3408-41F9-A6E8-0D5400AF5024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B14" i="1"/>
  <c r="B13" i="1"/>
  <c r="B12" i="1"/>
  <c r="B6" i="1"/>
  <c r="E14" i="1"/>
  <c r="E13" i="1"/>
  <c r="E12" i="1"/>
  <c r="D13" i="1"/>
  <c r="D14" i="1" s="1"/>
  <c r="D6" i="1"/>
  <c r="E6" i="1"/>
</calcChain>
</file>

<file path=xl/sharedStrings.xml><?xml version="1.0" encoding="utf-8"?>
<sst xmlns="http://schemas.openxmlformats.org/spreadsheetml/2006/main" count="4" uniqueCount="4">
  <si>
    <t>Valves</t>
  </si>
  <si>
    <t>Jaar</t>
  </si>
  <si>
    <t>Huidig</t>
  </si>
  <si>
    <t>Toekomstig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</si>
</sst>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Kosten grafiek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Blad1!$D$10</c:f>
              <c:strCache>
                <c:ptCount val="1"/>
                <c:pt idx="0">
                  <c:v>Huidig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Blad1!$B$11:$B$14</c:f>
              <c:numCache>
                <c:formatCode>General</c:formatCode>
                <c:ptCount val="4"/>
                <c:pt idx="0">
                  <c:v>0</c:v>
                </c:pt>
                <c:pt idx="1">
                  <c:v>576000</c:v>
                </c:pt>
                <c:pt idx="2">
                  <c:v>1152000</c:v>
                </c:pt>
                <c:pt idx="3">
                  <c:v>1728000</c:v>
                </c:pt>
              </c:numCache>
            </c:numRef>
          </c:cat>
          <c:val>
            <c:numRef>
              <c:f>Blad1!$D$11:$D$14</c:f>
              <c:numCache>
                <c:formatCode>"€"\ #,##0.00</c:formatCode>
                <c:ptCount val="4"/>
                <c:pt idx="0">
                  <c:v>0</c:v>
                </c:pt>
                <c:pt idx="1">
                  <c:v>230400</c:v>
                </c:pt>
                <c:pt idx="2">
                  <c:v>460800</c:v>
                </c:pt>
                <c:pt idx="3">
                  <c:v>691200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1-4C04-8DAF-5C21BD57308D}"/>
            </c:ext>
          </c:extLst>
        </c:ser>
        <c:ser>
          <c:idx val="1"/>
          <c:order val="1"/>
          <c:tx>
            <c:strRef>
              <c:f>Blad1!$E$10</c:f>
              <c:strCache>
                <c:ptCount val="1"/>
                <c:pt idx="0">
                  <c:v>Toekomstig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Blad1!$B$11:$B$14</c:f>
              <c:numCache>
                <c:formatCode>General</c:formatCode>
                <c:ptCount val="4"/>
                <c:pt idx="0">
                  <c:v>0</c:v>
                </c:pt>
                <c:pt idx="1">
                  <c:v>576000</c:v>
                </c:pt>
                <c:pt idx="2">
                  <c:v>1152000</c:v>
                </c:pt>
                <c:pt idx="3">
                  <c:v>1728000</c:v>
                </c:pt>
              </c:numCache>
            </c:numRef>
          </c:cat>
          <c:val>
            <c:numRef>
              <c:f>Blad1!$E$11:$E$14</c:f>
              <c:numCache>
                <c:formatCode>"€"\ #,##0.00</c:formatCode>
                <c:ptCount val="4"/>
                <c:pt idx="0">
                  <c:v>369280</c:v>
                </c:pt>
                <c:pt idx="1">
                  <c:v>415040</c:v>
                </c:pt>
                <c:pt idx="2">
                  <c:v>460800</c:v>
                </c:pt>
                <c:pt idx="3">
                  <c:v>506560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E1-4C04-8DAF-5C21BD57308D}"/>
            </c:ext>
          </c:extLst>
        </c:ser>
        <c:ser>
          <c:idx val="2"/>
          <c:order val="2"/>
          <c:tx>
            <c:strRef>
              <c:f>Blad1!$E$19</c:f>
              <c:strCache>
                <c:ptCount val="1"/>
                <c:pt idx="0">
                  <c:v>460800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ABE1-4C04-8DAF-5C21BD57308D}"/>
            </c:ext>
          </c:extLst>
        </c:ser>
        <c:ser>
          <c:idx val="3"/>
          <c:order val="3"/>
          <c:tx>
            <c:strRef>
              <c:f>Blad1!$D$19</c:f>
              <c:strCache>
                <c:ptCount val="1"/>
                <c:pt idx="0">
                  <c:v>1152000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ABE1-4C04-8DAF-5C21BD573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74432"/>
        <c:axId val="574574912"/>
      </c:lineChart>
      <c:catAx>
        <c:axId val="574574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Valves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4574912"/>
        <c:crosses val="autoZero"/>
        <c:auto val="1"/>
        <c:lblAlgn val="ctr"/>
        <c:lblOffset val="100"/>
        <c:tickMarkSkip val="1"/>
        <c:noMultiLvlLbl val="0"/>
      </c:catAx>
      <c:valAx>
        <c:axId val="57457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&quot;€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4574432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5537A5E-B596-16C1-87B5-4C947FCBD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3FF4-37A2-42B2-B155-AFC41A461AC5}">
  <dimension ref="B5:E19"/>
  <sheetViews>
    <sheetView tabSelected="1" zoomScale="115" zoomScaleNormal="115" workbookViewId="0">
      <selection activeCell="D13" sqref="D13"/>
    </sheetView>
  </sheetViews>
  <sheetFormatPr defaultRowHeight="15" x14ac:dyDescent="0.25"/>
  <cols>
    <col min="4" max="4" width="14.28515625" bestFit="1" customWidth="1"/>
    <col min="5" max="5" width="12.5703125" bestFit="1" customWidth="1"/>
  </cols>
  <sheetData>
    <row r="5" spans="2:5" x14ac:dyDescent="0.25">
      <c r="B5">
        <v>1152000</v>
      </c>
      <c r="D5" s="1">
        <v>460800</v>
      </c>
      <c r="E5" s="1">
        <v>91520</v>
      </c>
    </row>
    <row r="6" spans="2:5" x14ac:dyDescent="0.25">
      <c r="B6">
        <f>B5/2</f>
        <v>576000</v>
      </c>
      <c r="D6" s="1">
        <f>D5/2</f>
        <v>230400</v>
      </c>
      <c r="E6" s="1">
        <f>E5/2</f>
        <v>45760</v>
      </c>
    </row>
    <row r="10" spans="2:5" x14ac:dyDescent="0.25">
      <c r="B10" t="s">
        <v>0</v>
      </c>
      <c r="C10" t="s">
        <v>1</v>
      </c>
      <c r="D10" t="s">
        <v>2</v>
      </c>
      <c r="E10" t="s">
        <v>3</v>
      </c>
    </row>
    <row r="11" spans="2:5" x14ac:dyDescent="0.25">
      <c r="B11">
        <v>0</v>
      </c>
      <c r="C11">
        <v>0</v>
      </c>
      <c r="D11" s="1">
        <v>0</v>
      </c>
      <c r="E11" s="1">
        <v>369280</v>
      </c>
    </row>
    <row r="12" spans="2:5" x14ac:dyDescent="0.25">
      <c r="B12">
        <f>B11+B$6</f>
        <v>576000</v>
      </c>
      <c r="C12">
        <v>1</v>
      </c>
      <c r="D12" s="1">
        <f>D11+D$6</f>
        <v>230400</v>
      </c>
      <c r="E12" s="1">
        <f t="shared" ref="D12:E14" si="0">E11+E$6</f>
        <v>415040</v>
      </c>
    </row>
    <row r="13" spans="2:5" x14ac:dyDescent="0.25">
      <c r="B13">
        <f>B12+B$6</f>
        <v>1152000</v>
      </c>
      <c r="C13">
        <v>2</v>
      </c>
      <c r="D13" s="1">
        <f t="shared" si="0"/>
        <v>460800</v>
      </c>
      <c r="E13" s="1">
        <f t="shared" si="0"/>
        <v>460800</v>
      </c>
    </row>
    <row r="14" spans="2:5" x14ac:dyDescent="0.25">
      <c r="B14">
        <f t="shared" ref="B14" si="1">B13+B$6</f>
        <v>1728000</v>
      </c>
      <c r="C14">
        <v>3</v>
      </c>
      <c r="D14" s="1">
        <f t="shared" si="0"/>
        <v>691200</v>
      </c>
      <c r="E14" s="1">
        <f t="shared" si="0"/>
        <v>506560</v>
      </c>
    </row>
    <row r="19" spans="4:5" x14ac:dyDescent="0.25">
      <c r="D19">
        <v>1152000</v>
      </c>
      <c r="E19">
        <v>460800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CE4358CF9434AACD5F17CD166EEBE" ma:contentTypeVersion="3" ma:contentTypeDescription="Create a new document." ma:contentTypeScope="" ma:versionID="a8bd855463ece5384adb2dcbb268b39d">
  <xsd:schema xmlns:xsd="http://www.w3.org/2001/XMLSchema" xmlns:xs="http://www.w3.org/2001/XMLSchema" xmlns:p="http://schemas.microsoft.com/office/2006/metadata/properties" xmlns:ns2="71fe66e1-c1d4-4b45-94dc-995258161867" targetNamespace="http://schemas.microsoft.com/office/2006/metadata/properties" ma:root="true" ma:fieldsID="dc9cddc4321bbcd2f41d975df775de91" ns2:_="">
    <xsd:import namespace="71fe66e1-c1d4-4b45-94dc-995258161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e66e1-c1d4-4b45-94dc-995258161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DE87D7-F544-4A58-BF2B-F20AA56D1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AE4AE2-7FDE-4167-814D-B2955CF98CBA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1fe66e1-c1d4-4b45-94dc-995258161867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332DF44-224A-4705-9350-F561B59BF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fe66e1-c1d4-4b45-94dc-995258161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Rik Sluiter</dc:creator>
  <cp:keywords/>
  <dc:description/>
  <cp:lastModifiedBy>Quinten Warmink</cp:lastModifiedBy>
  <cp:revision/>
  <dcterms:created xsi:type="dcterms:W3CDTF">2025-09-18T08:58:02Z</dcterms:created>
  <dcterms:modified xsi:type="dcterms:W3CDTF">2025-09-22T10:22:45Z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0x010100E64CE4358CF9434AACD5F17CD166EEBE</vt:lpwstr>
  </property>
</Properties>
</file>